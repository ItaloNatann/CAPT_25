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9\"/>
    </mc:Choice>
  </mc:AlternateContent>
  <xr:revisionPtr revIDLastSave="0" documentId="13_ncr:1_{C7160202-1890-4490-AA1A-A34665179482}"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<sst xmlns="http://schemas.openxmlformats.org/spreadsheetml/2006/main" count="138" uniqueCount="79">
  <si>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</si>
  <si>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</si>
  <si>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</si>
  <si>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</si>
  <si>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</si>
  <si>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</si>
  <si>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</si>
  <si>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</si>
  <si>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</si>
  <si>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</si>
  <si>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</si>
  <si>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</si>
  <si>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</si>
  <si>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</si>
  <si>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</si>
  <si>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</si>
  <si>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</si>
  <si>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</si>
  <si>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</si>
  <si>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</si>
  <si>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</si>
  <si>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</si>
  <si>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</si>
  <si>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</si>
  <si>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</si>
  <si>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</si>
  <si>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</si>
  <si>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</si>
  <si>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</si>
  <si>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</si>
  <si>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</si>
  <si>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</si>
  <si>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</si>
  <si>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</si>
  <si>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</si>
  <si>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</si>
  <si>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</si>
  <si>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</si>
  <si>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</si>
  <si>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</si>
  <si>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</si>
  <si>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</si>
  <si>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</si>
  <si>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</si>
  <si>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</si>
  <si>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</si>
  <si>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</si>
  <si>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</si>
  <si>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</si>
  <si>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</si>
  <si>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</si>
  <si>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</si>
  <si>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</si>
  <si>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</si>
  <si>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</si>
  <si>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</si>
  <si>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</si>
  <si>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</si>
  <si>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</si>
  <si>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</si>
  <si>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</si>
  <si>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</si>
  <si>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</si>
  <si>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</si>
  <si>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</si>
  <si>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</si>
  <si>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</si>
  <si>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</si>
  <si>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</si>
  <si>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</si>
  <si>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</si>
  <si>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</si>
  <si>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</si>
  <si>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</si>
  <si>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</si>
  <si>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</si>
  <si>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CARTES MARTINEZ GUSTAVO ESTEBAN</t>
  </si>
  <si>
    <t>NAVARRETE ROJAS ITALO NATANN</t>
  </si>
  <si>
    <t>STARI ZUNIGA DANIEL CHRISTIAN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</si>
</sst>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4" sqref="B4: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7</v>
      </c>
      <c r="D4" s="5">
        <f>$C$32</f>
        <v>7</v>
      </c>
      <c r="E4" s="6">
        <f>C4*C$2+D4*D$2</f>
        <v>7</v>
      </c>
      <c r="G4" s="1"/>
    </row>
    <row r="5" spans="1:11" x14ac:dyDescent="0.25">
      <c r="A5" s="4">
        <v>2</v>
      </c>
      <c r="B5" s="72" t="s">
        <v>77</v>
      </c>
      <c r="C5" s="5">
        <f>EVALUACION1!$C$21</f>
        <v>7</v>
      </c>
      <c r="D5" s="5">
        <f>C44</f>
        <v>7</v>
      </c>
      <c r="E5" s="6">
        <f t="shared" ref="E5:E6" si="0">C5*C$2+D5*D$2</f>
        <v>7</v>
      </c>
      <c r="G5" s="1"/>
    </row>
    <row r="6" spans="1:11" x14ac:dyDescent="0.25">
      <c r="A6" s="4">
        <v>3</v>
      </c>
      <c r="B6" s="72" t="s">
        <v>78</v>
      </c>
      <c r="C6" s="5">
        <f>EVALUACION1!$C$21</f>
        <v>7</v>
      </c>
      <c r="D6" s="5">
        <f>C55</f>
        <v>7</v>
      </c>
      <c r="E6" s="6">
        <f t="shared" si="0"/>
        <v>7</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75</v>
      </c>
      <c r="D20" s="19"/>
      <c r="E20" s="19">
        <f>SUM(E13:E19)</f>
        <v>75</v>
      </c>
      <c r="F20" s="19"/>
      <c r="G20" s="19">
        <f>SUM(G13:G19)</f>
        <v>0</v>
      </c>
      <c r="H20" s="19"/>
      <c r="I20" s="19">
        <f>SUM(I13:I19)</f>
        <v>0</v>
      </c>
      <c r="J20" s="19"/>
      <c r="K20" s="19">
        <f>SUM(K13:K19)</f>
        <v>0</v>
      </c>
    </row>
    <row r="21" spans="1:11" ht="15.75" customHeight="1" outlineLevel="1" x14ac:dyDescent="0.3">
      <c r="A21" s="53"/>
      <c r="B21" s="31" t="s">
        <v>67</v>
      </c>
      <c r="C21" s="20">
        <f>VLOOKUP(C20,ESCALA_IEP!A1:B152,2,FALSE)</f>
        <v>7</v>
      </c>
    </row>
    <row r="22" spans="1:11" ht="15.75" customHeight="1" x14ac:dyDescent="0.25"/>
    <row r="23" spans="1:11" ht="15.75" customHeight="1" x14ac:dyDescent="0.25"/>
    <row r="24" spans="1:11" ht="15.75" customHeight="1" x14ac:dyDescent="0.25">
      <c r="A24" s="63" t="s">
        <v>59</v>
      </c>
      <c r="B24" s="52" t="s">
        <v>68</v>
      </c>
      <c r="C24" s="55" t="str">
        <f>$B$4</f>
        <v>CARTES MARTINEZ GUSTAVO ESTEBAN</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NAVARRETE ROJAS ITALO NATANN</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STARI ZUNIGA DANIEL CHRISTIAN</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2025-11-25T19:41:54Z</dcterms:modified>
  <cp:category/>
  <cp:contentStatus/>
</cp:coreProperties>
</file>